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l\OneDrive\Documentos\"/>
    </mc:Choice>
  </mc:AlternateContent>
  <xr:revisionPtr revIDLastSave="0" documentId="13_ncr:1_{89ABF68F-D240-4260-B6C7-0C446B16AE6C}" xr6:coauthVersionLast="47" xr6:coauthVersionMax="47" xr10:uidLastSave="{00000000-0000-0000-0000-000000000000}"/>
  <bookViews>
    <workbookView xWindow="-120" yWindow="-120" windowWidth="29040" windowHeight="15720" firstSheet="1" activeTab="5" xr2:uid="{A91E0A0B-3483-4D09-A9BB-587F4B62428C}"/>
  </bookViews>
  <sheets>
    <sheet name="Receita por produto" sheetId="2" r:id="rId1"/>
    <sheet name="Receita por Categoria" sheetId="3" r:id="rId2"/>
    <sheet name="Receita por Data" sheetId="4" r:id="rId3"/>
    <sheet name="Dashboard de Vendas" sheetId="7" r:id="rId4"/>
    <sheet name="Planilha1" sheetId="1" r:id="rId5"/>
    <sheet name="Base_Dados" sheetId="8" r:id="rId6"/>
  </sheets>
  <definedNames>
    <definedName name="SegmentaçãodeDados_Categoria">#N/A</definedName>
    <definedName name="SegmentaçãodeDados_Produto">#N/A</definedName>
    <definedName name="SegmentaçãodeDados_Produto1">#N/A</definedName>
    <definedName name="SegmentaçãodeDados_Quantidade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8" l="1"/>
  <c r="F5" i="8"/>
  <c r="F4" i="8"/>
  <c r="F3" i="8"/>
  <c r="F2" i="8"/>
  <c r="C34" i="7"/>
  <c r="C36" i="7" a="1"/>
  <c r="C36" i="7" s="1"/>
  <c r="C35" i="7"/>
  <c r="F2" i="1"/>
  <c r="F3" i="1"/>
  <c r="F4" i="1"/>
  <c r="F5" i="1"/>
  <c r="F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<sst xmlns="http://schemas.openxmlformats.org/spreadsheetml/2006/main" count="54" uniqueCount="19">
  <si>
    <t>Data</t>
  </si>
  <si>
    <t>Produto</t>
  </si>
  <si>
    <t>Categoria</t>
  </si>
  <si>
    <t>Quantidade</t>
  </si>
  <si>
    <t>Preço Unitário</t>
  </si>
  <si>
    <t>Receita</t>
  </si>
  <si>
    <t>Pão</t>
  </si>
  <si>
    <t>Padaria</t>
  </si>
  <si>
    <t>Bolo</t>
  </si>
  <si>
    <t>Confeitaria</t>
  </si>
  <si>
    <t>Café</t>
  </si>
  <si>
    <t>Bebida</t>
  </si>
  <si>
    <t>Rótulos de Linha</t>
  </si>
  <si>
    <t>Total Geral</t>
  </si>
  <si>
    <t>Soma de Receita</t>
  </si>
  <si>
    <t>Receita Total</t>
  </si>
  <si>
    <t>Total de Vendas</t>
  </si>
  <si>
    <t>Ticket Médio</t>
  </si>
  <si>
    <t xml:space="preserve">        50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</si>
</sst>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6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[padaria relatorio.xlsx]Receita por produto!Tabela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</a:t>
            </a:r>
            <a:r>
              <a:rPr lang="pt-BR" baseline="0"/>
              <a:t> por produto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'Receita por produto'!$B$3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'Receita por produto'!$A$4:$A$7</c:f>
              <c:strCache>
                <c:ptCount val="3"/>
                <c:pt idx="0">
                  <c:v>Bolo</c:v>
                </c:pt>
                <c:pt idx="1">
                  <c:v>Café</c:v>
                </c:pt>
                <c:pt idx="2">
                  <c:v>Pão</c:v>
                </c:pt>
              </c:strCache>
            </c:strRef>
          </c:cat>
          <c:val>
            <c:numRef>
              <c:f>'Receita por produto'!$B$4:$B$7</c:f>
              <c:numCache>
                <c:formatCode>General</c:formatCode>
                <c:ptCount val="3"/>
                <c:pt idx="0">
                  <c:v>450</c:v>
                </c:pt>
                <c:pt idx="1">
                  <c:v>150</c:v>
                </c:pt>
                <c:pt idx="2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9-48CB-BD11-AEE4D25506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5535855"/>
        <c:axId val="795545455"/>
      </c:barChart>
      <c:catAx>
        <c:axId val="79553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545455"/>
        <c:crosses val="autoZero"/>
        <c:auto val="1"/>
        <c:lblAlgn val="ctr"/>
        <c:lblOffset val="100"/>
        <c:noMultiLvlLbl val="0"/>
      </c:catAx>
      <c:valAx>
        <c:axId val="79554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53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[padaria relatorio.xlsx]Receita por Categoria!Tabela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Receita por Categoria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'Receita por Categoria'!$B$3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21F-42FB-ACEA-6F2BC5A87C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221F-42FB-ACEA-6F2BC5A87C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221F-42FB-ACEA-6F2BC5A87C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'Receita por Categoria'!$A$4:$A$7</c:f>
              <c:strCache>
                <c:ptCount val="3"/>
                <c:pt idx="0">
                  <c:v>Confeitaria</c:v>
                </c:pt>
                <c:pt idx="1">
                  <c:v>Bebida</c:v>
                </c:pt>
                <c:pt idx="2">
                  <c:v>Padaria</c:v>
                </c:pt>
              </c:strCache>
            </c:strRef>
          </c:cat>
          <c:val>
            <c:numRef>
              <c:f>'Receita por Categoria'!$B$4:$B$7</c:f>
              <c:numCache>
                <c:formatCode>General</c:formatCode>
                <c:ptCount val="3"/>
                <c:pt idx="0">
                  <c:v>450</c:v>
                </c:pt>
                <c:pt idx="1">
                  <c:v>150</c:v>
                </c:pt>
                <c:pt idx="2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E-4723-9DD4-9AC2BB54F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[padaria relatorio.xlsx]Receita por Data!Tabela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Receita por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'Receita por Data'!$B$3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'Receita por Data'!$A$4:$A$6</c:f>
              <c:strCache>
                <c:ptCount val="2"/>
                <c:pt idx="0">
                  <c:v>01/03/2026</c:v>
                </c:pt>
                <c:pt idx="1">
                  <c:v>02/03/2026</c:v>
                </c:pt>
              </c:strCache>
            </c:strRef>
          </c:cat>
          <c:val>
            <c:numRef>
              <c:f>'Receita por Data'!$B$4:$B$6</c:f>
              <c:numCache>
                <c:formatCode>General</c:formatCode>
                <c:ptCount val="2"/>
                <c:pt idx="0">
                  <c:v>75</c:v>
                </c:pt>
                <c:pt idx="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21-42FF-8A46-702FBF8F7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579535"/>
        <c:axId val="795571855"/>
      </c:lineChart>
      <c:catAx>
        <c:axId val="79557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571855"/>
        <c:crosses val="autoZero"/>
        <c:auto val="1"/>
        <c:lblAlgn val="ctr"/>
        <c:lblOffset val="100"/>
        <c:noMultiLvlLbl val="0"/>
      </c:catAx>
      <c:valAx>
        <c:axId val="79557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57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[padaria relatorio.xlsx]Receita por produto!Tabela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</a:t>
            </a:r>
            <a:r>
              <a:rPr lang="pt-BR" baseline="0"/>
              <a:t> por produto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'Receita por produto'!$B$3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'Receita por produto'!$A$4:$A$7</c:f>
              <c:strCache>
                <c:ptCount val="3"/>
                <c:pt idx="0">
                  <c:v>Bolo</c:v>
                </c:pt>
                <c:pt idx="1">
                  <c:v>Café</c:v>
                </c:pt>
                <c:pt idx="2">
                  <c:v>Pão</c:v>
                </c:pt>
              </c:strCache>
            </c:strRef>
          </c:cat>
          <c:val>
            <c:numRef>
              <c:f>'Receita por produto'!$B$4:$B$7</c:f>
              <c:numCache>
                <c:formatCode>General</c:formatCode>
                <c:ptCount val="3"/>
                <c:pt idx="0">
                  <c:v>450</c:v>
                </c:pt>
                <c:pt idx="1">
                  <c:v>150</c:v>
                </c:pt>
                <c:pt idx="2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0-42AD-9C8A-D10B8EE003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5535855"/>
        <c:axId val="795545455"/>
      </c:barChart>
      <c:catAx>
        <c:axId val="79553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545455"/>
        <c:crosses val="autoZero"/>
        <c:auto val="1"/>
        <c:lblAlgn val="ctr"/>
        <c:lblOffset val="100"/>
        <c:noMultiLvlLbl val="0"/>
      </c:catAx>
      <c:valAx>
        <c:axId val="79554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53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[padaria relatorio.xlsx]Receita por Categoria!Tabela dinâmica2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Receita por Categoria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'Receita por Categoria'!$B$3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5454-4F11-9A62-93E31DB5BB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5454-4F11-9A62-93E31DB5BB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5454-4F11-9A62-93E31DB5BB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'Receita por Categoria'!$A$4:$A$7</c:f>
              <c:strCache>
                <c:ptCount val="3"/>
                <c:pt idx="0">
                  <c:v>Confeitaria</c:v>
                </c:pt>
                <c:pt idx="1">
                  <c:v>Bebida</c:v>
                </c:pt>
                <c:pt idx="2">
                  <c:v>Padaria</c:v>
                </c:pt>
              </c:strCache>
            </c:strRef>
          </c:cat>
          <c:val>
            <c:numRef>
              <c:f>'Receita por Categoria'!$B$4:$B$7</c:f>
              <c:numCache>
                <c:formatCode>General</c:formatCode>
                <c:ptCount val="3"/>
                <c:pt idx="0">
                  <c:v>450</c:v>
                </c:pt>
                <c:pt idx="1">
                  <c:v>150</c:v>
                </c:pt>
                <c:pt idx="2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54-4F11-9A62-93E31DB5B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[padaria relatorio.xlsx]Receita por Data!Tabela dinâmica3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Receita por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'Receita por Data'!$B$3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'Receita por Data'!$A$4:$A$6</c:f>
              <c:strCache>
                <c:ptCount val="2"/>
                <c:pt idx="0">
                  <c:v>01/03/2026</c:v>
                </c:pt>
                <c:pt idx="1">
                  <c:v>02/03/2026</c:v>
                </c:pt>
              </c:strCache>
            </c:strRef>
          </c:cat>
          <c:val>
            <c:numRef>
              <c:f>'Receita por Data'!$B$4:$B$6</c:f>
              <c:numCache>
                <c:formatCode>General</c:formatCode>
                <c:ptCount val="2"/>
                <c:pt idx="0">
                  <c:v>75</c:v>
                </c:pt>
                <c:pt idx="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E-4736-88D4-3BD90AC2B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579535"/>
        <c:axId val="795571855"/>
      </c:lineChart>
      <c:catAx>
        <c:axId val="79557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571855"/>
        <c:crosses val="autoZero"/>
        <c:auto val="1"/>
        <c:lblAlgn val="ctr"/>
        <c:lblOffset val="100"/>
        <c:noMultiLvlLbl val="0"/>
      </c:catAx>
      <c:valAx>
        <c:axId val="79557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57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1419225</xdr:colOff>
      <xdr:row>11</xdr:row>
      <xdr:rowOff>52387</xdr:rowOff>
    </xdr:from>
    <xdr:to>
      <xdr:col>10</xdr:col>
      <xdr:colOff>247650</xdr:colOff>
      <xdr:row>25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019598E-5547-C0DB-65B7-A17065D74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166687</xdr:rowOff>
    </xdr:from>
    <xdr:to>
      <xdr:col>5</xdr:col>
      <xdr:colOff>495300</xdr:colOff>
      <xdr:row>26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A49F80-1753-780F-CBA7-1CD535F5D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238125</xdr:colOff>
      <xdr:row>10</xdr:row>
      <xdr:rowOff>152400</xdr:rowOff>
    </xdr:from>
    <xdr:to>
      <xdr:col>9</xdr:col>
      <xdr:colOff>238125</xdr:colOff>
      <xdr:row>24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to 1">
              <a:extLst>
                <a:ext uri="{FF2B5EF4-FFF2-40B4-BE49-F238E27FC236}">
                  <a16:creationId xmlns:a16="http://schemas.microsoft.com/office/drawing/2014/main" id="{3E6F1316-6457-02CF-6C82-CA7554EFCE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4425" y="20574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304800</xdr:colOff>
      <xdr:row>10</xdr:row>
      <xdr:rowOff>38100</xdr:rowOff>
    </xdr:from>
    <xdr:to>
      <xdr:col>12</xdr:col>
      <xdr:colOff>304800</xdr:colOff>
      <xdr:row>23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Quantidade">
              <a:extLst>
                <a:ext uri="{FF2B5EF4-FFF2-40B4-BE49-F238E27FC236}">
                  <a16:creationId xmlns:a16="http://schemas.microsoft.com/office/drawing/2014/main" id="{7B22B6D8-24F9-FEE7-71CA-72C0C0D1A1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nt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9900" y="19431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18</xdr:row>
      <xdr:rowOff>157162</xdr:rowOff>
    </xdr:from>
    <xdr:to>
      <xdr:col>11</xdr:col>
      <xdr:colOff>352425</xdr:colOff>
      <xdr:row>33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1D3CE9-6688-8886-7EBA-B650E44B6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276225</xdr:colOff>
      <xdr:row>2</xdr:row>
      <xdr:rowOff>66675</xdr:rowOff>
    </xdr:from>
    <xdr:to>
      <xdr:col>9</xdr:col>
      <xdr:colOff>276225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to">
              <a:extLst>
                <a:ext uri="{FF2B5EF4-FFF2-40B4-BE49-F238E27FC236}">
                  <a16:creationId xmlns:a16="http://schemas.microsoft.com/office/drawing/2014/main" id="{DF2DA9C8-714B-9B5B-574F-3579CE7E3F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2525" y="4476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104775</xdr:colOff>
      <xdr:row>3</xdr:row>
      <xdr:rowOff>0</xdr:rowOff>
    </xdr:from>
    <xdr:to>
      <xdr:col>13</xdr:col>
      <xdr:colOff>104775</xdr:colOff>
      <xdr:row>16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ia">
              <a:extLst>
                <a:ext uri="{FF2B5EF4-FFF2-40B4-BE49-F238E27FC236}">
                  <a16:creationId xmlns:a16="http://schemas.microsoft.com/office/drawing/2014/main" id="{5608690D-59B0-D827-88DF-538CA92B4F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29475" y="571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104775</xdr:rowOff>
    </xdr:from>
    <xdr:to>
      <xdr:col>10</xdr:col>
      <xdr:colOff>381000</xdr:colOff>
      <xdr:row>15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079560-60D2-467C-8A92-BCBAB66DE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180975</xdr:colOff>
      <xdr:row>1</xdr:row>
      <xdr:rowOff>85725</xdr:rowOff>
    </xdr:from>
    <xdr:to>
      <xdr:col>18</xdr:col>
      <xdr:colOff>485775</xdr:colOff>
      <xdr:row>15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EE3986-3302-4B63-A793-5700382FF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381000</xdr:colOff>
      <xdr:row>17</xdr:row>
      <xdr:rowOff>57150</xdr:rowOff>
    </xdr:from>
    <xdr:to>
      <xdr:col>14</xdr:col>
      <xdr:colOff>76200</xdr:colOff>
      <xdr:row>31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7CBFCD-9413-4491-A336-52FAFF5A0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lo Teixeira" refreshedDate="46104.676095370371" createdVersion="8" refreshedVersion="8" minRefreshableVersion="3" recordCount="5" xr:uid="{5C4DBCE3-3D63-445F-973D-BE94285924F9}">
  <cacheSource type="worksheet">
    <worksheetSource ref="A1:F6" sheet="Planilha1"/>
  </cacheSource>
  <cacheFields count="6">
    <cacheField name="Data" numFmtId="14">
      <sharedItems containsSemiMixedTypes="0" containsNonDate="0" containsDate="1" containsString="0" minDate="2026-03-01T00:00:00" maxDate="2026-03-04T00:00:00" count="3">
        <d v="2026-03-01T00:00:00"/>
        <d v="2026-03-02T00:00:00"/>
        <d v="2026-03-03T00:00:00"/>
      </sharedItems>
    </cacheField>
    <cacheField name="Produto" numFmtId="0">
      <sharedItems count="3">
        <s v="Pão"/>
        <s v="Bolo"/>
        <s v="Café"/>
      </sharedItems>
    </cacheField>
    <cacheField name="Categoria" numFmtId="0">
      <sharedItems count="3">
        <s v="Padaria"/>
        <s v="Confeitaria"/>
        <s v="Bebida"/>
      </sharedItems>
    </cacheField>
    <cacheField name="Quantidade" numFmtId="0">
      <sharedItems containsSemiMixedTypes="0" containsString="0" containsNumber="1" containsInteger="1" minValue="8" maxValue="50" count="5">
        <n v="50"/>
        <n v="10"/>
        <n v="30"/>
        <n v="40"/>
        <n v="8"/>
      </sharedItems>
    </cacheField>
    <cacheField name="Preço Unitário" numFmtId="0">
      <sharedItems containsSemiMixedTypes="0" containsString="0" containsNumber="1" minValue="1.5" maxValue="25"/>
    </cacheField>
    <cacheField name="Receita" numFmtId="0">
      <sharedItems containsSemiMixedTypes="0" containsString="0" containsNumber="1" containsInteger="1" minValue="60" maxValue="250"/>
    </cacheField>
  </cacheFields>
  <extLst>
    <ext xmlns:x14="http://schemas.microsoft.com/office/spreadsheetml/2009/9/main" uri="{725AE2AE-9491-48be-B2B4-4EB974FC3084}">
      <x14:pivotCacheDefinition pivotCacheId="1314293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x v="0"/>
    <n v="1.5"/>
    <n v="75"/>
  </r>
  <r>
    <x v="0"/>
    <x v="1"/>
    <x v="1"/>
    <x v="1"/>
    <n v="25"/>
    <n v="250"/>
  </r>
  <r>
    <x v="1"/>
    <x v="2"/>
    <x v="2"/>
    <x v="2"/>
    <n v="5"/>
    <n v="150"/>
  </r>
  <r>
    <x v="1"/>
    <x v="0"/>
    <x v="0"/>
    <x v="3"/>
    <n v="1.5"/>
    <n v="60"/>
  </r>
  <r>
    <x v="2"/>
    <x v="1"/>
    <x v="1"/>
    <x v="4"/>
    <n v="25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33784-F17C-41EA-86CB-330E01CE6C8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6">
    <pivotField numFmtId="14" showAll="0">
      <items count="4">
        <item x="0"/>
        <item x="1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Receita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6DF1F-582A-46A6-B4FE-A8C0D4EE3FAF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6">
    <pivotField numFmtId="14" showAll="0">
      <items count="4">
        <item x="0"/>
        <item x="1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oma de Receita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BC3B1-BBD0-45F0-9C56-A7E715ECF68C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3:B6" firstHeaderRow="1" firstDataRow="1" firstDataCol="1"/>
  <pivotFields count="6">
    <pivotField axis="axisRow" numFmtId="14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h="1" x="1"/>
        <item h="1"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oma de Receita" fld="5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B6653-A546-4F0D-B2BE-E475E6645760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6">
    <pivotField numFmtId="14"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FAB232EA-21DF-4F09-80E6-355EAD85C31D}" sourceName="Produto">
  <pivotTables>
    <pivotTable tabId="4" name="Tabela dinâmica3"/>
  </pivotTables>
  <data>
    <tabular pivotCacheId="131429380">
      <items count="3">
        <i x="1"/>
        <i x="2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9CC20B13-8949-4194-BA9A-7800DF37A103}" sourceName="Categoria">
  <pivotTables>
    <pivotTable tabId="4" name="Tabela dinâmica3"/>
  </pivotTables>
  <data>
    <tabular pivotCacheId="131429380">
      <items count="3">
        <i x="0" s="1"/>
        <i x="2" s="1" nd="1"/>
        <i x="1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1" xr10:uid="{0697A5B9-471D-4212-85D7-1E09D2263DDE}" sourceName="Produto">
  <pivotTables>
    <pivotTable tabId="3" name="Tabela dinâmica2"/>
  </pivotTables>
  <data>
    <tabular pivotCacheId="131429380">
      <items count="3"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Quantidade" xr10:uid="{479605FE-15A4-42A0-85CA-1815D01C674F}" sourceName="Quantidade">
  <pivotTables>
    <pivotTable tabId="3" name="Tabela dinâmica2"/>
  </pivotTables>
  <data>
    <tabular pivotCacheId="131429380">
      <items count="5">
        <i x="4" s="1"/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 1" xr10:uid="{3727AB0E-6F12-4AF2-BBA6-2191F2C495F1}" cache="SegmentaçãodeDados_Produto1" caption="Produto" rowHeight="241300"/>
  <slicer name="Quantidade" xr10:uid="{0FD4DE20-35C4-49E9-B731-1A74B4C4C6DF}" cache="SegmentaçãodeDados_Quantidade" caption="Quantidade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" xr10:uid="{7470B216-E0EB-4863-8063-A3900E011685}" cache="SegmentaçãodeDados_Produto" caption="Produto" rowHeight="241300"/>
  <slicer name="Categoria" xr10:uid="{02FCA1BA-A39E-4455-8534-08A7CB5AA540}" cache="SegmentaçãodeDados_Categoria" caption="Categoria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7A109A-B103-403B-9F64-4723ED01621E}" name="Tabela2" displayName="Tabela2" ref="A1:F6" totalsRowShown="0" headerRowDxfId="0" dataDxfId="1">
  <autoFilter ref="A1:F6" xr:uid="{5D7A109A-B103-403B-9F64-4723ED01621E}"/>
  <tableColumns count="6">
    <tableColumn id="1" xr3:uid="{A0210B5D-98D5-4046-916C-B8EDC7E032A0}" name="Data" dataDxfId="7"/>
    <tableColumn id="2" xr3:uid="{DB4A418D-892D-4427-8C11-B7B421C39D4D}" name="Produto" dataDxfId="6"/>
    <tableColumn id="3" xr3:uid="{4D827AAD-6EF2-4EC5-94CA-220556F5127F}" name="Categoria" dataDxfId="5"/>
    <tableColumn id="4" xr3:uid="{2C9A3492-8C4D-4822-B851-3FF37FC7B237}" name="Quantidade" dataDxfId="4"/>
    <tableColumn id="5" xr3:uid="{D153B6C5-63B8-44EA-A3A8-6912B857AC50}" name="Preço Unitário" dataDxfId="3"/>
    <tableColumn id="6" xr3:uid="{B616E389-F3D5-47D2-8C7B-7334CF456C5B}" name="Receita" dataDxfId="2">
      <calculatedColumnFormula>D2*E2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CCEE-CA9F-456F-B471-45555EE589E9}">
  <dimension ref="A3:B7"/>
  <sheetViews>
    <sheetView workbookViewId="0">
      <selection activeCell="A26" sqref="A26"/>
    </sheetView>
  </sheetViews>
  <sheetFormatPr defaultRowHeight="15" x14ac:dyDescent="0.25"/>
  <cols>
    <col min="1" max="1" width="18" bestFit="1" customWidth="1"/>
    <col min="2" max="2" width="15.7109375" bestFit="1" customWidth="1"/>
    <col min="3" max="3" width="22.140625" bestFit="1" customWidth="1"/>
  </cols>
  <sheetData>
    <row r="3" spans="1:2" x14ac:dyDescent="0.25">
      <c r="A3" s="13" t="s">
        <v>12</v>
      </c>
      <c r="B3" t="s">
        <v>14</v>
      </c>
    </row>
    <row r="4" spans="1:2" x14ac:dyDescent="0.25">
      <c r="A4" s="15" t="s">
        <v>8</v>
      </c>
      <c r="B4">
        <v>450</v>
      </c>
    </row>
    <row r="5" spans="1:2" x14ac:dyDescent="0.25">
      <c r="A5" s="15" t="s">
        <v>10</v>
      </c>
      <c r="B5">
        <v>150</v>
      </c>
    </row>
    <row r="6" spans="1:2" x14ac:dyDescent="0.25">
      <c r="A6" s="15" t="s">
        <v>6</v>
      </c>
      <c r="B6">
        <v>135</v>
      </c>
    </row>
    <row r="7" spans="1:2" x14ac:dyDescent="0.25">
      <c r="A7" s="15" t="s">
        <v>13</v>
      </c>
      <c r="B7">
        <v>735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02D2-1111-4607-8982-ED032E4731F1}">
  <dimension ref="A3:B7"/>
  <sheetViews>
    <sheetView workbookViewId="0">
      <selection activeCell="B5" sqref="B5"/>
    </sheetView>
  </sheetViews>
  <sheetFormatPr defaultRowHeight="15" x14ac:dyDescent="0.25"/>
  <cols>
    <col min="1" max="1" width="18" bestFit="1" customWidth="1"/>
    <col min="2" max="2" width="15.7109375" bestFit="1" customWidth="1"/>
  </cols>
  <sheetData>
    <row r="3" spans="1:2" x14ac:dyDescent="0.25">
      <c r="A3" s="13" t="s">
        <v>12</v>
      </c>
      <c r="B3" t="s">
        <v>14</v>
      </c>
    </row>
    <row r="4" spans="1:2" x14ac:dyDescent="0.25">
      <c r="A4" s="15" t="s">
        <v>9</v>
      </c>
      <c r="B4">
        <v>450</v>
      </c>
    </row>
    <row r="5" spans="1:2" x14ac:dyDescent="0.25">
      <c r="A5" s="15" t="s">
        <v>11</v>
      </c>
      <c r="B5">
        <v>150</v>
      </c>
    </row>
    <row r="6" spans="1:2" x14ac:dyDescent="0.25">
      <c r="A6" s="15" t="s">
        <v>7</v>
      </c>
      <c r="B6">
        <v>135</v>
      </c>
    </row>
    <row r="7" spans="1:2" x14ac:dyDescent="0.25">
      <c r="A7" s="15" t="s">
        <v>13</v>
      </c>
      <c r="B7">
        <v>735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D6F8-B196-47AA-9DAC-E40827CDB6BA}">
  <dimension ref="A3:B6"/>
  <sheetViews>
    <sheetView workbookViewId="0">
      <selection activeCell="C35" sqref="C35"/>
    </sheetView>
  </sheetViews>
  <sheetFormatPr defaultRowHeight="15" x14ac:dyDescent="0.25"/>
  <cols>
    <col min="1" max="1" width="18" bestFit="1" customWidth="1"/>
    <col min="2" max="2" width="15.7109375" bestFit="1" customWidth="1"/>
  </cols>
  <sheetData>
    <row r="3" spans="1:2" x14ac:dyDescent="0.25">
      <c r="A3" s="13" t="s">
        <v>12</v>
      </c>
      <c r="B3" t="s">
        <v>14</v>
      </c>
    </row>
    <row r="4" spans="1:2" x14ac:dyDescent="0.25">
      <c r="A4" s="14">
        <v>46082</v>
      </c>
      <c r="B4">
        <v>75</v>
      </c>
    </row>
    <row r="5" spans="1:2" x14ac:dyDescent="0.25">
      <c r="A5" s="14">
        <v>46083</v>
      </c>
      <c r="B5">
        <v>60</v>
      </c>
    </row>
    <row r="6" spans="1:2" x14ac:dyDescent="0.25">
      <c r="A6" s="14" t="s">
        <v>13</v>
      </c>
      <c r="B6">
        <v>135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E803-CD2B-4739-BC0E-8DE9332D6591}">
  <dimension ref="A3:C36"/>
  <sheetViews>
    <sheetView workbookViewId="0">
      <selection activeCell="C34" sqref="C34:C36"/>
    </sheetView>
  </sheetViews>
  <sheetFormatPr defaultRowHeight="15" x14ac:dyDescent="0.25"/>
  <cols>
    <col min="2" max="2" width="22.85546875" customWidth="1"/>
    <col min="3" max="3" width="19.85546875" customWidth="1"/>
  </cols>
  <sheetData>
    <row r="3" spans="1:3" x14ac:dyDescent="0.25">
      <c r="A3" s="4"/>
      <c r="B3" s="5"/>
      <c r="C3" s="6"/>
    </row>
    <row r="4" spans="1:3" x14ac:dyDescent="0.25">
      <c r="A4" s="7"/>
      <c r="B4" s="8"/>
      <c r="C4" s="9"/>
    </row>
    <row r="5" spans="1:3" x14ac:dyDescent="0.25">
      <c r="A5" s="7"/>
      <c r="B5" s="8"/>
      <c r="C5" s="9"/>
    </row>
    <row r="6" spans="1:3" x14ac:dyDescent="0.25">
      <c r="A6" s="7"/>
      <c r="B6" s="8"/>
      <c r="C6" s="9"/>
    </row>
    <row r="7" spans="1:3" x14ac:dyDescent="0.25">
      <c r="A7" s="7"/>
      <c r="B7" s="8"/>
      <c r="C7" s="9"/>
    </row>
    <row r="8" spans="1:3" x14ac:dyDescent="0.25">
      <c r="A8" s="7"/>
      <c r="B8" s="8"/>
      <c r="C8" s="9"/>
    </row>
    <row r="9" spans="1:3" x14ac:dyDescent="0.25">
      <c r="A9" s="7"/>
      <c r="B9" s="8"/>
      <c r="C9" s="9"/>
    </row>
    <row r="10" spans="1:3" x14ac:dyDescent="0.25">
      <c r="A10" s="7"/>
      <c r="B10" s="8"/>
      <c r="C10" s="9"/>
    </row>
    <row r="11" spans="1:3" x14ac:dyDescent="0.25">
      <c r="A11" s="7"/>
      <c r="B11" s="8"/>
      <c r="C11" s="9"/>
    </row>
    <row r="12" spans="1:3" x14ac:dyDescent="0.25">
      <c r="A12" s="7"/>
      <c r="B12" s="8"/>
      <c r="C12" s="9"/>
    </row>
    <row r="13" spans="1:3" x14ac:dyDescent="0.25">
      <c r="A13" s="7"/>
      <c r="B13" s="8"/>
      <c r="C13" s="9"/>
    </row>
    <row r="14" spans="1:3" x14ac:dyDescent="0.25">
      <c r="A14" s="7"/>
      <c r="B14" s="8"/>
      <c r="C14" s="9"/>
    </row>
    <row r="15" spans="1:3" x14ac:dyDescent="0.25">
      <c r="A15" s="7"/>
      <c r="B15" s="8"/>
      <c r="C15" s="9"/>
    </row>
    <row r="16" spans="1:3" x14ac:dyDescent="0.25">
      <c r="A16" s="7"/>
      <c r="B16" s="8"/>
      <c r="C16" s="9"/>
    </row>
    <row r="17" spans="1:3" x14ac:dyDescent="0.25">
      <c r="A17" s="7"/>
      <c r="B17" s="8"/>
      <c r="C17" s="9"/>
    </row>
    <row r="18" spans="1:3" x14ac:dyDescent="0.25">
      <c r="A18" s="7"/>
      <c r="B18" s="8"/>
      <c r="C18" s="9"/>
    </row>
    <row r="19" spans="1:3" x14ac:dyDescent="0.25">
      <c r="A19" s="7"/>
      <c r="B19" s="8"/>
      <c r="C19" s="9"/>
    </row>
    <row r="20" spans="1:3" x14ac:dyDescent="0.25">
      <c r="A20" s="10"/>
      <c r="B20" s="11"/>
      <c r="C20" s="12"/>
    </row>
    <row r="34" spans="2:3" x14ac:dyDescent="0.25">
      <c r="B34" s="16" t="s">
        <v>15</v>
      </c>
      <c r="C34">
        <f>SUM(F:F)</f>
        <v>0</v>
      </c>
    </row>
    <row r="35" spans="2:3" x14ac:dyDescent="0.25">
      <c r="B35" s="16" t="s">
        <v>16</v>
      </c>
      <c r="C35">
        <f>SUM(D:D)</f>
        <v>0</v>
      </c>
    </row>
    <row r="36" spans="2:3" x14ac:dyDescent="0.25">
      <c r="B36" s="16" t="s">
        <v>17</v>
      </c>
      <c r="C36" t="e" cm="1">
        <f t="array" ref="C36">Receita Total / Total de vendas</f>
        <v>#NAME?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F0C5-61A8-46E8-93A1-9145DF6CD749}">
  <dimension ref="A1:F14"/>
  <sheetViews>
    <sheetView workbookViewId="0">
      <selection sqref="A1:F6"/>
    </sheetView>
  </sheetViews>
  <sheetFormatPr defaultRowHeight="15" x14ac:dyDescent="0.25"/>
  <cols>
    <col min="1" max="1" width="17.42578125" customWidth="1"/>
    <col min="2" max="2" width="12.7109375" customWidth="1"/>
    <col min="4" max="4" width="14" customWidth="1"/>
    <col min="5" max="5" width="16.42578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46082</v>
      </c>
      <c r="B2" s="3" t="s">
        <v>6</v>
      </c>
      <c r="C2" s="3" t="s">
        <v>7</v>
      </c>
      <c r="D2" s="3">
        <v>50</v>
      </c>
      <c r="E2" s="3">
        <v>1.5</v>
      </c>
      <c r="F2" s="3">
        <f>D2*E2</f>
        <v>75</v>
      </c>
    </row>
    <row r="3" spans="1:6" ht="30" x14ac:dyDescent="0.25">
      <c r="A3" s="2">
        <v>46082</v>
      </c>
      <c r="B3" s="3" t="s">
        <v>8</v>
      </c>
      <c r="C3" s="3" t="s">
        <v>9</v>
      </c>
      <c r="D3" s="3">
        <v>10</v>
      </c>
      <c r="E3" s="3">
        <v>25</v>
      </c>
      <c r="F3" s="3">
        <f>D3*E3</f>
        <v>250</v>
      </c>
    </row>
    <row r="4" spans="1:6" x14ac:dyDescent="0.25">
      <c r="A4" s="2">
        <v>46083</v>
      </c>
      <c r="B4" s="3" t="s">
        <v>10</v>
      </c>
      <c r="C4" s="3" t="s">
        <v>11</v>
      </c>
      <c r="D4" s="3">
        <v>30</v>
      </c>
      <c r="E4" s="3">
        <v>5</v>
      </c>
      <c r="F4" s="3">
        <f>D4*E4</f>
        <v>150</v>
      </c>
    </row>
    <row r="5" spans="1:6" x14ac:dyDescent="0.25">
      <c r="A5" s="2">
        <v>46083</v>
      </c>
      <c r="B5" s="3" t="s">
        <v>6</v>
      </c>
      <c r="C5" s="3" t="s">
        <v>7</v>
      </c>
      <c r="D5" s="3">
        <v>40</v>
      </c>
      <c r="E5" s="3">
        <v>1.5</v>
      </c>
      <c r="F5" s="3">
        <f>D5*E5</f>
        <v>60</v>
      </c>
    </row>
    <row r="6" spans="1:6" ht="30" x14ac:dyDescent="0.25">
      <c r="A6" s="2">
        <v>46084</v>
      </c>
      <c r="B6" s="3" t="s">
        <v>8</v>
      </c>
      <c r="C6" s="3" t="s">
        <v>9</v>
      </c>
      <c r="D6" s="3">
        <v>8</v>
      </c>
      <c r="E6" s="3">
        <v>25</v>
      </c>
      <c r="F6" s="3">
        <f>D6*E6</f>
        <v>200</v>
      </c>
    </row>
    <row r="9" spans="1:6" x14ac:dyDescent="0.25">
      <c r="B9" s="17"/>
    </row>
    <row r="11" spans="1:6" x14ac:dyDescent="0.25">
      <c r="B11" s="18"/>
    </row>
    <row r="12" spans="1:6" x14ac:dyDescent="0.25">
      <c r="A12" s="16" t="s">
        <v>15</v>
      </c>
      <c r="B12" s="17">
        <v>735</v>
      </c>
    </row>
    <row r="13" spans="1:6" x14ac:dyDescent="0.25">
      <c r="A13" s="16" t="s">
        <v>16</v>
      </c>
      <c r="B13" t="s">
        <v>18</v>
      </c>
    </row>
    <row r="14" spans="1:6" x14ac:dyDescent="0.25">
      <c r="A14" s="16" t="s">
        <v>17</v>
      </c>
      <c r="B14" s="18">
        <v>14.7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6F09-8E39-4989-8EB0-3DFE6DB8FADE}">
  <dimension ref="A1:F6"/>
  <sheetViews>
    <sheetView tabSelected="1" workbookViewId="0">
      <selection sqref="A1:F6"/>
    </sheetView>
  </sheetViews>
  <sheetFormatPr defaultRowHeight="15" x14ac:dyDescent="0.25"/>
  <cols>
    <col min="1" max="1" width="12.28515625" customWidth="1"/>
    <col min="2" max="2" width="10.28515625" customWidth="1"/>
    <col min="3" max="3" width="11.5703125" customWidth="1"/>
    <col min="4" max="4" width="13.5703125" customWidth="1"/>
    <col min="5" max="5" width="15.85546875" customWidth="1"/>
    <col min="6" max="6" width="9.71093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46082</v>
      </c>
      <c r="B2" s="3" t="s">
        <v>6</v>
      </c>
      <c r="C2" s="3" t="s">
        <v>7</v>
      </c>
      <c r="D2" s="3">
        <v>50</v>
      </c>
      <c r="E2" s="3">
        <v>1.5</v>
      </c>
      <c r="F2" s="3">
        <f>D2*E2</f>
        <v>75</v>
      </c>
    </row>
    <row r="3" spans="1:6" ht="30" x14ac:dyDescent="0.25">
      <c r="A3" s="2">
        <v>46082</v>
      </c>
      <c r="B3" s="3" t="s">
        <v>8</v>
      </c>
      <c r="C3" s="3" t="s">
        <v>9</v>
      </c>
      <c r="D3" s="3">
        <v>10</v>
      </c>
      <c r="E3" s="3">
        <v>25</v>
      </c>
      <c r="F3" s="3">
        <f>D3*E3</f>
        <v>250</v>
      </c>
    </row>
    <row r="4" spans="1:6" x14ac:dyDescent="0.25">
      <c r="A4" s="2">
        <v>46083</v>
      </c>
      <c r="B4" s="3" t="s">
        <v>10</v>
      </c>
      <c r="C4" s="3" t="s">
        <v>11</v>
      </c>
      <c r="D4" s="3">
        <v>30</v>
      </c>
      <c r="E4" s="3">
        <v>5</v>
      </c>
      <c r="F4" s="3">
        <f>D4*E4</f>
        <v>150</v>
      </c>
    </row>
    <row r="5" spans="1:6" x14ac:dyDescent="0.25">
      <c r="A5" s="2">
        <v>46083</v>
      </c>
      <c r="B5" s="3" t="s">
        <v>6</v>
      </c>
      <c r="C5" s="3" t="s">
        <v>7</v>
      </c>
      <c r="D5" s="3">
        <v>40</v>
      </c>
      <c r="E5" s="3">
        <v>1.5</v>
      </c>
      <c r="F5" s="3">
        <f>D5*E5</f>
        <v>60</v>
      </c>
    </row>
    <row r="6" spans="1:6" ht="30" x14ac:dyDescent="0.25">
      <c r="A6" s="2">
        <v>46084</v>
      </c>
      <c r="B6" s="3" t="s">
        <v>8</v>
      </c>
      <c r="C6" s="3" t="s">
        <v>9</v>
      </c>
      <c r="D6" s="3">
        <v>8</v>
      </c>
      <c r="E6" s="3">
        <v>25</v>
      </c>
      <c r="F6" s="3">
        <f>D6*E6</f>
        <v>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Receita por produto</vt:lpstr>
      <vt:lpstr>Receita por Categoria</vt:lpstr>
      <vt:lpstr>Receita por Data</vt:lpstr>
      <vt:lpstr>Dashboard de Vendas</vt:lpstr>
      <vt:lpstr>Planilha1</vt:lpstr>
      <vt:lpstr>Base_Dados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campos</dc:creator>
  <cp:lastModifiedBy>andreia campos</cp:lastModifiedBy>
  <dcterms:created xsi:type="dcterms:W3CDTF">2026-03-23T19:11:53Z</dcterms:created>
  <dcterms:modified xsi:type="dcterms:W3CDTF">2026-03-23T20:22:52Z</dcterms:modified>
</cp:coreProperties>
</file>